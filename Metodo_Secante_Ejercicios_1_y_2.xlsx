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iego/Downloads/"/>
    </mc:Choice>
  </mc:AlternateContent>
  <xr:revisionPtr revIDLastSave="0" documentId="13_ncr:1_{F7C8CF83-1FEE-6A47-BB32-1A44216978DC}" xr6:coauthVersionLast="37" xr6:coauthVersionMax="37" xr10:uidLastSave="{00000000-0000-0000-0000-000000000000}"/>
  <bookViews>
    <workbookView xWindow="0" yWindow="660" windowWidth="30240" windowHeight="17120" activeTab="2" xr2:uid="{00000000-000D-0000-FFFF-FFFF00000000}"/>
  </bookViews>
  <sheets>
    <sheet name="Resumen" sheetId="1" r:id="rId1"/>
    <sheet name="Ejercicio 1" sheetId="2" r:id="rId2"/>
    <sheet name="Ejercicio 2" sheetId="3" r:id="rId3"/>
  </sheets>
  <definedNames>
    <definedName name="_xlnm._FilterDatabase" localSheetId="1" hidden="1">'Ejercicio 1'!$A$5:$F$10</definedName>
    <definedName name="_xlnm._FilterDatabase" localSheetId="2" hidden="1">'Ejercicio 2'!$A$5:$F$16</definedName>
  </definedNames>
  <calcPr calcId="179021" forceFullCalc="1"/>
</workbook>
</file>

<file path=xl/calcChain.xml><?xml version="1.0" encoding="utf-8"?>
<calcChain xmlns="http://schemas.openxmlformats.org/spreadsheetml/2006/main">
  <c r="F7" i="2" l="1"/>
  <c r="F16" i="3"/>
  <c r="F15" i="3"/>
  <c r="F14" i="3"/>
  <c r="F13" i="3"/>
  <c r="F12" i="3"/>
  <c r="F11" i="3"/>
  <c r="F10" i="3"/>
  <c r="F9" i="3"/>
  <c r="I8" i="3"/>
  <c r="F8" i="3"/>
  <c r="I7" i="3"/>
  <c r="I6" i="3"/>
  <c r="F10" i="2"/>
  <c r="F9" i="2"/>
  <c r="F8" i="2"/>
  <c r="I7" i="2"/>
  <c r="I6" i="2"/>
</calcChain>
</file>

<file path=xl/sharedStrings.xml><?xml version="1.0" encoding="utf-8"?>
<sst xmlns="http://schemas.openxmlformats.org/spreadsheetml/2006/main" count="45" uniqueCount="30">
  <si>
    <t>MÉTODO DE LA SECANTE — RESULTADOS</t>
  </si>
  <si>
    <t>Ejercicio</t>
  </si>
  <si>
    <t>Ecuación</t>
  </si>
  <si>
    <t>Raíz aproximada</t>
  </si>
  <si>
    <t>Iteraciones</t>
  </si>
  <si>
    <t>Error final (%)</t>
  </si>
  <si>
    <t>Ejercicio 1</t>
  </si>
  <si>
    <t>LN(x)-2x+3=0</t>
  </si>
  <si>
    <t>Ejercicio 2</t>
  </si>
  <si>
    <t>x^3-3x-4=0</t>
  </si>
  <si>
    <t>Criterio de parada: error relativo aproximado ≤ 0,005%.</t>
  </si>
  <si>
    <t>Las hojas de cada ejercicio muestran los cálculos numéricos y las fórmulas de Excel para cada iteración.</t>
  </si>
  <si>
    <t>Ejercicio 1: f(x)=LN(x)-2x+3</t>
  </si>
  <si>
    <t>Valores iniciales: x0=1; x1=2 | Tolerancia: 0,005%</t>
  </si>
  <si>
    <t>Los resultados se muestran con 3 decimales; las fórmulas usan precisión completa de Excel.</t>
  </si>
  <si>
    <t>Iteración</t>
  </si>
  <si>
    <t>x anterior</t>
  </si>
  <si>
    <t>x actual (x_i)</t>
  </si>
  <si>
    <t>f(x_i)</t>
  </si>
  <si>
    <t>Error relativo (%)</t>
  </si>
  <si>
    <t>Fórmula / operación</t>
  </si>
  <si>
    <t>Fórmulas de Excel</t>
  </si>
  <si>
    <t>Valor inicial dado</t>
  </si>
  <si>
    <t>f(x), ejercicio 1</t>
  </si>
  <si>
    <t>Nueva aproximación</t>
  </si>
  <si>
    <t>Nota</t>
  </si>
  <si>
    <t>La tabla numérica contiene resultados calculados; las celdas de la derecha muestran ejemplos de las fórmulas de Excel para replicar el proceso.</t>
  </si>
  <si>
    <t>Ejercicio 2: f(x)=x^3-3x-4</t>
  </si>
  <si>
    <t>Valores iniciales: x0=5; x1=7 | Tolerancia: 0,005%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</si>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</sst>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 wrapText="1"/>
    </xf>
    <xf numFmtId="0" fontId="2" fillId="5" borderId="0" xfId="0" applyFont="1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22" customWidth="1"/>
    <col min="4" max="4" width="16" customWidth="1"/>
    <col min="5" max="5" width="22" customWidth="1"/>
  </cols>
  <sheetData>
    <row r="1" spans="1:5" ht="21" x14ac:dyDescent="0.25">
      <c r="A1" s="16" t="s">
        <v>0</v>
      </c>
      <c r="B1" s="17"/>
      <c r="C1" s="17"/>
      <c r="D1" s="17"/>
      <c r="E1" s="17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t="s">
        <v>6</v>
      </c>
      <c r="B4" t="s">
        <v>7</v>
      </c>
      <c r="C4" s="2">
        <v>1.7915369379253321</v>
      </c>
      <c r="D4">
        <v>5</v>
      </c>
      <c r="E4" s="3">
        <v>8.7931968042160533E-5</v>
      </c>
    </row>
    <row r="5" spans="1:5" x14ac:dyDescent="0.2">
      <c r="A5" t="s">
        <v>8</v>
      </c>
      <c r="B5" t="s">
        <v>9</v>
      </c>
      <c r="C5" s="2">
        <v>2.19582334554722</v>
      </c>
      <c r="D5">
        <v>10</v>
      </c>
      <c r="E5" s="3">
        <v>3.7631563454747418E-5</v>
      </c>
    </row>
    <row r="8" spans="1:5" x14ac:dyDescent="0.2">
      <c r="A8" s="17" t="s">
        <v>10</v>
      </c>
      <c r="B8" s="17"/>
      <c r="C8" s="17"/>
      <c r="D8" s="17"/>
      <c r="E8" s="17"/>
    </row>
    <row r="9" spans="1:5" x14ac:dyDescent="0.2">
      <c r="A9" s="17" t="s">
        <v>11</v>
      </c>
      <c r="B9" s="17"/>
      <c r="C9" s="17"/>
      <c r="D9" s="17"/>
      <c r="E9" s="17"/>
    </row>
  </sheetData>
  <mergeCells count="3">
    <mergeCell ref="A1:E1"/>
    <mergeCell ref="A9:E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showGridLines="0" workbookViewId="0">
      <pane ySplit="5" topLeftCell="A6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8" customWidth="1"/>
    <col min="4" max="4" width="16" customWidth="1"/>
    <col min="5" max="5" width="22" customWidth="1"/>
    <col min="6" max="6" width="75" customWidth="1"/>
    <col min="8" max="8" width="23" customWidth="1"/>
    <col min="9" max="9" width="38" customWidth="1"/>
  </cols>
  <sheetData>
    <row r="1" spans="1:9" ht="20" x14ac:dyDescent="0.25">
      <c r="A1" s="18" t="s">
        <v>12</v>
      </c>
      <c r="B1" s="17"/>
      <c r="C1" s="17"/>
      <c r="D1" s="17"/>
      <c r="E1" s="17"/>
      <c r="F1" s="17"/>
    </row>
    <row r="2" spans="1:9" x14ac:dyDescent="0.2">
      <c r="A2" s="17" t="s">
        <v>13</v>
      </c>
      <c r="B2" s="17"/>
      <c r="C2" s="17"/>
      <c r="D2" s="17"/>
      <c r="E2" s="17"/>
      <c r="F2" s="17"/>
    </row>
    <row r="3" spans="1:9" x14ac:dyDescent="0.2">
      <c r="A3" s="17" t="s">
        <v>14</v>
      </c>
      <c r="B3" s="17"/>
      <c r="C3" s="17"/>
      <c r="D3" s="17"/>
      <c r="E3" s="17"/>
      <c r="F3" s="17"/>
    </row>
    <row r="5" spans="1:9" ht="16" x14ac:dyDescent="0.2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H5" s="5" t="s">
        <v>21</v>
      </c>
    </row>
    <row r="6" spans="1:9" ht="16" x14ac:dyDescent="0.2">
      <c r="A6" s="6">
        <v>1</v>
      </c>
      <c r="B6" s="6">
        <v>1</v>
      </c>
      <c r="C6" s="7">
        <v>2</v>
      </c>
      <c r="D6" s="7">
        <v>-0.3068528194400546</v>
      </c>
      <c r="E6" s="8" t="s">
        <v>29</v>
      </c>
      <c r="F6" s="9" t="s">
        <v>22</v>
      </c>
      <c r="H6" t="s">
        <v>24</v>
      </c>
      <c r="I6" t="e">
        <f>C6-D6*(C6-#REF!)/(D6-#REF!)</f>
        <v>#REF!</v>
      </c>
    </row>
    <row r="7" spans="1:9" ht="16" x14ac:dyDescent="0.2">
      <c r="A7" s="6">
        <v>2</v>
      </c>
      <c r="B7" s="6">
        <v>2</v>
      </c>
      <c r="C7" s="7">
        <v>1.765197109517251</v>
      </c>
      <c r="D7" s="7">
        <v>3.7868141895682772E-2</v>
      </c>
      <c r="E7" s="8">
        <v>13.3017944124644</v>
      </c>
      <c r="F7" s="9" t="e">
        <f>C6-D6*(C6-#REF!)/(D6-#REF!)</f>
        <v>#REF!</v>
      </c>
      <c r="H7" t="s">
        <v>19</v>
      </c>
      <c r="I7" t="e">
        <f>ABS((C6-#REF!)/C6)*100</f>
        <v>#REF!</v>
      </c>
    </row>
    <row r="8" spans="1:9" ht="16" x14ac:dyDescent="0.2">
      <c r="A8" s="6">
        <v>3</v>
      </c>
      <c r="B8" s="6">
        <v>1.765197109517251</v>
      </c>
      <c r="C8" s="7">
        <v>1.7909905777759381</v>
      </c>
      <c r="D8" s="7">
        <v>7.8770663957117293E-4</v>
      </c>
      <c r="E8" s="8">
        <v>1.4401788919915439</v>
      </c>
      <c r="F8" s="9">
        <f>C7-D7*(C7-C6)/(D7-D6)</f>
        <v>1.7909905777759374</v>
      </c>
    </row>
    <row r="9" spans="1:9" ht="16" x14ac:dyDescent="0.2">
      <c r="A9" s="6">
        <v>4</v>
      </c>
      <c r="B9" s="6">
        <v>1.7909905777759381</v>
      </c>
      <c r="C9" s="7">
        <v>1.7915385132590189</v>
      </c>
      <c r="D9" s="7">
        <v>-2.2712139724490039E-6</v>
      </c>
      <c r="E9" s="8">
        <v>3.0584633209195241E-2</v>
      </c>
      <c r="F9" s="9">
        <f>C8-D8*(C8-C7)/(D8-D7)</f>
        <v>1.7915385132590198</v>
      </c>
      <c r="H9" s="10" t="s">
        <v>25</v>
      </c>
    </row>
    <row r="10" spans="1:9" ht="96" x14ac:dyDescent="0.2">
      <c r="A10" s="11">
        <v>5</v>
      </c>
      <c r="B10" s="11">
        <v>1.7915385132590189</v>
      </c>
      <c r="C10" s="12">
        <v>1.7915369379253321</v>
      </c>
      <c r="D10" s="12">
        <v>1.3410916821499091E-10</v>
      </c>
      <c r="E10" s="13">
        <v>8.7931968042160533E-5</v>
      </c>
      <c r="F10" s="14">
        <f>C9-D9*(C9-C8)/(D9-D8)</f>
        <v>1.7915369379253312</v>
      </c>
      <c r="H10" s="15" t="s">
        <v>26</v>
      </c>
    </row>
  </sheetData>
  <autoFilter ref="A5:F10" xr:uid="{00000000-0009-0000-0000-000001000000}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tabSelected="1" workbookViewId="0">
      <pane ySplit="5" topLeftCell="A6" activePane="bottomLeft" state="frozen"/>
      <selection pane="bottomLeft" sqref="A1:F1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8" customWidth="1"/>
    <col min="4" max="4" width="16" customWidth="1"/>
    <col min="5" max="5" width="22" customWidth="1"/>
    <col min="6" max="6" width="56" customWidth="1"/>
    <col min="8" max="8" width="23" customWidth="1"/>
    <col min="9" max="9" width="38" customWidth="1"/>
  </cols>
  <sheetData>
    <row r="1" spans="1:9" ht="20" x14ac:dyDescent="0.25">
      <c r="A1" s="18" t="s">
        <v>27</v>
      </c>
      <c r="B1" s="17"/>
      <c r="C1" s="17"/>
      <c r="D1" s="17"/>
      <c r="E1" s="17"/>
      <c r="F1" s="17"/>
    </row>
    <row r="2" spans="1:9" x14ac:dyDescent="0.2">
      <c r="A2" s="17" t="s">
        <v>28</v>
      </c>
      <c r="B2" s="17"/>
      <c r="C2" s="17"/>
      <c r="D2" s="17"/>
      <c r="E2" s="17"/>
      <c r="F2" s="17"/>
    </row>
    <row r="3" spans="1:9" x14ac:dyDescent="0.2">
      <c r="A3" s="17" t="s">
        <v>14</v>
      </c>
      <c r="B3" s="17"/>
      <c r="C3" s="17"/>
      <c r="D3" s="17"/>
      <c r="E3" s="17"/>
      <c r="F3" s="17"/>
    </row>
    <row r="5" spans="1:9" ht="16" x14ac:dyDescent="0.2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H5" s="5" t="s">
        <v>21</v>
      </c>
    </row>
    <row r="6" spans="1:9" ht="16" x14ac:dyDescent="0.2">
      <c r="A6" s="6">
        <v>0</v>
      </c>
      <c r="B6" s="6"/>
      <c r="C6" s="7">
        <v>5</v>
      </c>
      <c r="D6" s="7">
        <v>106</v>
      </c>
      <c r="E6" s="8"/>
      <c r="F6" s="9" t="s">
        <v>22</v>
      </c>
      <c r="H6" t="s">
        <v>23</v>
      </c>
      <c r="I6">
        <f>C6^3-3*C6-4</f>
        <v>106</v>
      </c>
    </row>
    <row r="7" spans="1:9" ht="16" x14ac:dyDescent="0.2">
      <c r="A7" s="6">
        <v>1</v>
      </c>
      <c r="B7" s="6">
        <v>5</v>
      </c>
      <c r="C7" s="7">
        <v>7</v>
      </c>
      <c r="D7" s="7">
        <v>318</v>
      </c>
      <c r="E7" s="8">
        <v>28.571428571428569</v>
      </c>
      <c r="F7" s="9" t="s">
        <v>22</v>
      </c>
      <c r="H7" t="s">
        <v>24</v>
      </c>
      <c r="I7">
        <f>C7-D7*(C7-C6)/(D7-D6)</f>
        <v>4</v>
      </c>
    </row>
    <row r="8" spans="1:9" ht="16" x14ac:dyDescent="0.2">
      <c r="A8" s="6">
        <v>2</v>
      </c>
      <c r="B8" s="6">
        <v>7</v>
      </c>
      <c r="C8" s="7">
        <v>4</v>
      </c>
      <c r="D8" s="7">
        <v>48</v>
      </c>
      <c r="E8" s="8">
        <v>75</v>
      </c>
      <c r="F8" s="9">
        <f t="shared" ref="F8:F16" si="0">C7-D7*(C7-C6)/(D7-D6)</f>
        <v>4</v>
      </c>
      <c r="H8" t="s">
        <v>19</v>
      </c>
      <c r="I8">
        <f>ABS((C7-C6)/C7)*100</f>
        <v>28.571428571428569</v>
      </c>
    </row>
    <row r="9" spans="1:9" ht="16" x14ac:dyDescent="0.2">
      <c r="A9" s="6">
        <v>3</v>
      </c>
      <c r="B9" s="6">
        <v>4</v>
      </c>
      <c r="C9" s="7">
        <v>3.4666666666666668</v>
      </c>
      <c r="D9" s="7">
        <v>27.261629629629638</v>
      </c>
      <c r="E9" s="8">
        <v>15.38461538461538</v>
      </c>
      <c r="F9" s="9">
        <f t="shared" si="0"/>
        <v>3.4666666666666668</v>
      </c>
    </row>
    <row r="10" spans="1:9" ht="16" x14ac:dyDescent="0.2">
      <c r="A10" s="6">
        <v>4</v>
      </c>
      <c r="B10" s="6">
        <v>3.4666666666666668</v>
      </c>
      <c r="C10" s="7">
        <v>2.76557320836667</v>
      </c>
      <c r="D10" s="7">
        <v>8.8554771463637252</v>
      </c>
      <c r="E10" s="8">
        <v>25.350746679892001</v>
      </c>
      <c r="F10" s="9">
        <f t="shared" si="0"/>
        <v>2.7655732083666704</v>
      </c>
      <c r="H10" s="10" t="s">
        <v>25</v>
      </c>
    </row>
    <row r="11" spans="1:9" ht="96" x14ac:dyDescent="0.2">
      <c r="A11" s="6">
        <v>5</v>
      </c>
      <c r="B11" s="6">
        <v>2.76557320836667</v>
      </c>
      <c r="C11" s="7">
        <v>2.4282665874916529</v>
      </c>
      <c r="D11" s="7">
        <v>3.0334222541559721</v>
      </c>
      <c r="E11" s="8">
        <v>13.890839770745581</v>
      </c>
      <c r="F11" s="9">
        <f t="shared" si="0"/>
        <v>2.4282665874916529</v>
      </c>
      <c r="H11" s="15" t="s">
        <v>26</v>
      </c>
    </row>
    <row r="12" spans="1:9" ht="16" x14ac:dyDescent="0.2">
      <c r="A12" s="6">
        <v>6</v>
      </c>
      <c r="B12" s="6">
        <v>2.4282665874916529</v>
      </c>
      <c r="C12" s="7">
        <v>2.2525222104322968</v>
      </c>
      <c r="D12" s="7">
        <v>0.67140739612066636</v>
      </c>
      <c r="E12" s="8">
        <v>7.8021151687391237</v>
      </c>
      <c r="F12" s="9">
        <f t="shared" si="0"/>
        <v>2.2525222104322968</v>
      </c>
    </row>
    <row r="13" spans="1:9" ht="16" x14ac:dyDescent="0.2">
      <c r="A13" s="6">
        <v>7</v>
      </c>
      <c r="B13" s="6">
        <v>2.2525222104322968</v>
      </c>
      <c r="C13" s="7">
        <v>2.2025665235817842</v>
      </c>
      <c r="D13" s="7">
        <v>7.7609843053708438E-2</v>
      </c>
      <c r="E13" s="8">
        <v>2.2680671078790322</v>
      </c>
      <c r="F13" s="9">
        <f t="shared" si="0"/>
        <v>2.2025665235817837</v>
      </c>
    </row>
    <row r="14" spans="1:9" ht="16" x14ac:dyDescent="0.2">
      <c r="A14" s="6">
        <v>8</v>
      </c>
      <c r="B14" s="6">
        <v>2.2025665235817842</v>
      </c>
      <c r="C14" s="7">
        <v>2.1960372730045741</v>
      </c>
      <c r="D14" s="7">
        <v>2.4529639397599108E-3</v>
      </c>
      <c r="E14" s="8">
        <v>0.29731966107648777</v>
      </c>
      <c r="F14" s="9">
        <f t="shared" si="0"/>
        <v>2.1960372730045741</v>
      </c>
    </row>
    <row r="15" spans="1:9" ht="16" x14ac:dyDescent="0.2">
      <c r="A15" s="6">
        <v>9</v>
      </c>
      <c r="B15" s="6">
        <v>2.1960372730045741</v>
      </c>
      <c r="C15" s="7">
        <v>2.1958241718698761</v>
      </c>
      <c r="D15" s="7">
        <v>9.4748925727472511E-6</v>
      </c>
      <c r="E15" s="8">
        <v>9.7048359986173192E-3</v>
      </c>
      <c r="F15" s="9">
        <f t="shared" si="0"/>
        <v>2.1958241718698761</v>
      </c>
    </row>
    <row r="16" spans="1:9" ht="16" x14ac:dyDescent="0.2">
      <c r="A16" s="11">
        <v>10</v>
      </c>
      <c r="B16" s="11">
        <v>2.1958241718698761</v>
      </c>
      <c r="C16" s="12">
        <v>2.19582334554722</v>
      </c>
      <c r="D16" s="12">
        <v>1.164524476848783E-9</v>
      </c>
      <c r="E16" s="13">
        <v>3.7631563454747418E-5</v>
      </c>
      <c r="F16" s="14">
        <f t="shared" si="0"/>
        <v>2.1958233455472205</v>
      </c>
    </row>
  </sheetData>
  <autoFilter ref="A5:F16" xr:uid="{00000000-0009-0000-0000-000002000000}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Ejercicio 1</vt:lpstr>
      <vt:lpstr>Ejercicio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2026-10-22T04:03:28Z</dcterms:created>
  <dcterms:modified xsi:type="dcterms:W3CDTF">2026-10-22T04:09:25Z</dcterms:modified>
</cp:coreProperties>
</file>